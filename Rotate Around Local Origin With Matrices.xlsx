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skpolytech-my.sharepoint.com/personal/grzesinam_saskpolytech_ca/Documents/MATH282/LO5/"/>
    </mc:Choice>
  </mc:AlternateContent>
  <xr:revisionPtr revIDLastSave="127" documentId="8_{D25AB015-6530-488B-AA13-32ABC2693522}" xr6:coauthVersionLast="47" xr6:coauthVersionMax="47" xr10:uidLastSave="{5D1A5096-BB22-44BA-A7C3-CA87CEDB5A96}"/>
  <bookViews>
    <workbookView xWindow="-120" yWindow="-120" windowWidth="29040" windowHeight="15840" activeTab="2" xr2:uid="{B588D86F-6C55-49F0-AF5F-39CC0B996FEA}"/>
  </bookViews>
  <sheets>
    <sheet name="MultiplyingOneMatrixAtATime" sheetId="1" r:id="rId1"/>
    <sheet name="UsingCombinedRotationMatrix" sheetId="2" r:id="rId2"/>
    <sheet name="Rocke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3" l="1"/>
  <c r="B36" i="3"/>
  <c r="C35" i="3"/>
  <c r="B35" i="3"/>
  <c r="C34" i="3"/>
  <c r="B34" i="3"/>
  <c r="C33" i="3"/>
  <c r="B33" i="3"/>
  <c r="C32" i="3"/>
  <c r="B32" i="3"/>
  <c r="C31" i="3"/>
  <c r="B31" i="3"/>
  <c r="G21" i="3"/>
  <c r="D25" i="3" s="1"/>
  <c r="F31" i="2" a="1"/>
  <c r="F31" i="2" s="1"/>
  <c r="B32" i="2"/>
  <c r="C32" i="2"/>
  <c r="B33" i="2"/>
  <c r="C33" i="2"/>
  <c r="B34" i="2"/>
  <c r="C34" i="2"/>
  <c r="B35" i="2"/>
  <c r="C35" i="2"/>
  <c r="B36" i="2"/>
  <c r="C36" i="2"/>
  <c r="C31" i="2"/>
  <c r="B31" i="2"/>
  <c r="D25" i="2"/>
  <c r="C25" i="2"/>
  <c r="D24" i="2"/>
  <c r="C24" i="2"/>
  <c r="D23" i="2"/>
  <c r="C23" i="2"/>
  <c r="G21" i="2"/>
  <c r="E10" i="1" a="1"/>
  <c r="E10" i="1" s="1"/>
  <c r="I10" i="1" s="1" a="1"/>
  <c r="I10" i="1" s="1"/>
  <c r="M10" i="1" s="1" a="1"/>
  <c r="M10" i="1" s="1"/>
  <c r="C23" i="3" l="1"/>
  <c r="C24" i="3"/>
  <c r="D24" i="3"/>
  <c r="D23" i="3"/>
  <c r="C25" i="3"/>
  <c r="F31" i="3" l="1" a="1"/>
  <c r="F3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<sst xmlns="http://schemas.openxmlformats.org/spreadsheetml/2006/main" count="71" uniqueCount="33">
  <si>
    <t>x</t>
  </si>
  <si>
    <t>y</t>
  </si>
  <si>
    <t>hc</t>
  </si>
  <si>
    <t>T(-2,-3)</t>
  </si>
  <si>
    <t>R(180deg)</t>
  </si>
  <si>
    <t>T(2,3)</t>
  </si>
  <si>
    <t>x'</t>
  </si>
  <si>
    <t>y'</t>
  </si>
  <si>
    <t>x''</t>
  </si>
  <si>
    <t>y''</t>
  </si>
  <si>
    <t>x'''</t>
  </si>
  <si>
    <t>y'''</t>
  </si>
  <si>
    <t>In order to do transformations with matrix multiplication, we add a column of 1's (homogeneous coordinates).</t>
  </si>
  <si>
    <t>To do rotation without side effects, we multiply by T(-a,-b) * R(angle) * T(a,b).</t>
  </si>
  <si>
    <t>Suppose we have some points (in this case, the points that draw a house):</t>
  </si>
  <si>
    <t>To rotate them without any side effect, we know we have to translate from the local origin</t>
  </si>
  <si>
    <t>to the world origin, then rotate, then translate back to the local origin. This can be combined</t>
  </si>
  <si>
    <t>in a single matrix - see class notes for derivation of the matrix:</t>
  </si>
  <si>
    <t>Given centre of</t>
  </si>
  <si>
    <t>rotation (local origin)</t>
  </si>
  <si>
    <t>x:</t>
  </si>
  <si>
    <t>y:</t>
  </si>
  <si>
    <t>Angle:</t>
  </si>
  <si>
    <t>In radians:</t>
  </si>
  <si>
    <t>The matrix is:</t>
  </si>
  <si>
    <t>(Note that Excel may may values that are 0</t>
  </si>
  <si>
    <t>as numbers like 1.23E-16 because of</t>
  </si>
  <si>
    <t>representation/rounding errors)</t>
  </si>
  <si>
    <t>We can then take the points, represented as homogeneous coordinates (with a column of 1's)</t>
  </si>
  <si>
    <t>and then multiply the points by the single combined matrix to get the transformed points:</t>
  </si>
  <si>
    <t>(Note that to do matrix multiplication in Excel,</t>
  </si>
  <si>
    <t>you use the MMULT function)</t>
  </si>
  <si>
    <t>Graphed 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</si>
</sst>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1"/>
    <xf numFmtId="0" fontId="3" fillId="3" borderId="2" xfId="2"/>
    <xf numFmtId="0" fontId="4" fillId="3" borderId="1" xfId="3"/>
  </cellXfs>
  <cellStyles count="4">
    <cellStyle name="Calculation" xfId="3" builtinId="22"/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MultiplyingOneMatrixAtATime!$A$5:$A$10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xVal>
          <c:yVal>
            <c:numRef>
              <c:f>MultiplyingOneMatrixAtATime!$B$5:$B$10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7A-4100-8765-32A237E50C0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MultiplyingOneMatrixAtATime!$E$10:$E$15</c:f>
              <c:numCache>
                <c:formatCode>General</c:formatCode>
                <c:ptCount val="6"/>
                <c:pt idx="0">
                  <c:v>-1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</c:numCache>
            </c:numRef>
          </c:xVal>
          <c:yVal>
            <c:numRef>
              <c:f>MultiplyingOneMatrixAtATime!$F$10:$F$15</c:f>
              <c:numCache>
                <c:formatCode>General</c:formatCode>
                <c:ptCount val="6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-1</c:v>
                </c:pt>
                <c:pt idx="4">
                  <c:v>-2</c:v>
                </c:pt>
                <c:pt idx="5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7A-4100-8765-32A237E50C0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MultiplyingOneMatrixAtATime!$I$10:$I$15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</c:numCache>
            </c:numRef>
          </c:xVal>
          <c:yVal>
            <c:numRef>
              <c:f>MultiplyingOneMatrixAtATime!$J$10:$J$15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7A-4100-8765-32A237E50C0B}"/>
            </c:ext>
          </c:extLst>
        </c:ser>
        <c:ser>
          <c:idx val="3"/>
          <c:order val="3"/>
          <c:tx>
            <c:strRef>
              <c:f>MultiplyingOneMatrixAtATime!$M$10:$M$15</c:f>
              <c:strCach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MultiplyingOneMatrixAtATime!$M$10:$M$15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xVal>
          <c:yVal>
            <c:numRef>
              <c:f>MultiplyingOneMatrixAtATime!$N$10:$N$15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7A-4100-8765-32A237E50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5307791"/>
        <c:axId val="2049660591"/>
      </c:scatterChart>
      <c:valAx>
        <c:axId val="204530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60591"/>
        <c:crosses val="autoZero"/>
        <c:crossBetween val="midCat"/>
      </c:valAx>
      <c:valAx>
        <c:axId val="204966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307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UsingCombinedRotationMatrix!$A$4:$A$9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xVal>
          <c:yVal>
            <c:numRef>
              <c:f>UsingCombinedRotationMatrix!$B$4:$B$9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04-4C3E-9027-9CEC29D0F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10287"/>
        <c:axId val="1386466415"/>
      </c:scatterChart>
      <c:valAx>
        <c:axId val="20371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66415"/>
        <c:crosses val="autoZero"/>
        <c:crossBetween val="midCat"/>
      </c:valAx>
      <c:valAx>
        <c:axId val="138646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10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UsingCombinedRotationMatrix!$B$31:$B$36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xVal>
          <c:yVal>
            <c:numRef>
              <c:f>UsingCombinedRotationMatrix!$C$31:$C$36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FD-4A88-9BFA-7C1C4ACEE97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UsingCombinedRotationMatrix!$F$31:$F$36</c:f>
              <c:numCache>
                <c:formatCode>General</c:formatCode>
                <c:ptCount val="6"/>
                <c:pt idx="0">
                  <c:v>2.9999999999999996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0.99999999999999956</c:v>
                </c:pt>
                <c:pt idx="5">
                  <c:v>2.9999999999999996</c:v>
                </c:pt>
              </c:numCache>
            </c:numRef>
          </c:xVal>
          <c:yVal>
            <c:numRef>
              <c:f>UsingCombinedRotationMatrix!$G$31:$G$36</c:f>
              <c:numCache>
                <c:formatCode>General</c:formatCode>
                <c:ptCount val="6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FD-4A88-9BFA-7C1C4ACEE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07167"/>
        <c:axId val="195678799"/>
      </c:scatterChart>
      <c:valAx>
        <c:axId val="19870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78799"/>
        <c:crosses val="autoZero"/>
        <c:crossBetween val="midCat"/>
      </c:valAx>
      <c:valAx>
        <c:axId val="19567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0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Rocket!$A$4:$A$9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</c:numCache>
            </c:numRef>
          </c:xVal>
          <c:yVal>
            <c:numRef>
              <c:f>Rocket!$B$4:$B$9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56-4A8D-8AAF-BA3A343C2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10287"/>
        <c:axId val="1386466415"/>
      </c:scatterChart>
      <c:valAx>
        <c:axId val="20371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66415"/>
        <c:crosses val="autoZero"/>
        <c:crossBetween val="midCat"/>
      </c:valAx>
      <c:valAx>
        <c:axId val="138646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10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Rocket!$B$31:$B$36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</c:numCache>
            </c:numRef>
          </c:xVal>
          <c:yVal>
            <c:numRef>
              <c:f>Rocket!$C$31:$C$36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31-4490-BD7E-6075F3AB06E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Rocket!$F$31:$F$36</c:f>
              <c:numCache>
                <c:formatCode>General</c:formatCode>
                <c:ptCount val="6"/>
                <c:pt idx="0">
                  <c:v>11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9</c:v>
                </c:pt>
                <c:pt idx="5">
                  <c:v>11</c:v>
                </c:pt>
              </c:numCache>
            </c:numRef>
          </c:xVal>
          <c:yVal>
            <c:numRef>
              <c:f>Rocket!$G$31:$G$36</c:f>
              <c:numCache>
                <c:formatCode>General</c:formatCode>
                <c:ptCount val="6"/>
                <c:pt idx="0">
                  <c:v>3.0000000000000009</c:v>
                </c:pt>
                <c:pt idx="1">
                  <c:v>1.0000000000000004</c:v>
                </c:pt>
                <c:pt idx="2">
                  <c:v>8.8817841970012523E-16</c:v>
                </c:pt>
                <c:pt idx="3">
                  <c:v>1.0000000000000009</c:v>
                </c:pt>
                <c:pt idx="4">
                  <c:v>3.0000000000000004</c:v>
                </c:pt>
                <c:pt idx="5">
                  <c:v>3.0000000000000009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31-4490-BD7E-6075F3AB0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07167"/>
        <c:axId val="195678799"/>
      </c:scatterChart>
      <c:valAx>
        <c:axId val="19870716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78799"/>
        <c:crosses val="autoZero"/>
        <c:crossBetween val="midCat"/>
      </c:valAx>
      <c:valAx>
        <c:axId val="195678799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0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165793</xdr:colOff>
      <xdr:row>15</xdr:row>
      <xdr:rowOff>73765</xdr:rowOff>
    </xdr:from>
    <xdr:to>
      <xdr:col>11</xdr:col>
      <xdr:colOff>381001</xdr:colOff>
      <xdr:row>29</xdr:row>
      <xdr:rowOff>163285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3E9DAB-34C0-1EC1-1503-AAED65EDD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38695</xdr:colOff>
      <xdr:row>1</xdr:row>
      <xdr:rowOff>30360</xdr:rowOff>
    </xdr:from>
    <xdr:to>
      <xdr:col>7</xdr:col>
      <xdr:colOff>386953</xdr:colOff>
      <xdr:row>14</xdr:row>
      <xdr:rowOff>148828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9983C2-FB90-B53D-2E6A-9D98F2984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50601</xdr:colOff>
      <xdr:row>37</xdr:row>
      <xdr:rowOff>36313</xdr:rowOff>
    </xdr:from>
    <xdr:to>
      <xdr:col>6</xdr:col>
      <xdr:colOff>351235</xdr:colOff>
      <xdr:row>59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29000C-83E2-A17E-722D-3A6C4527D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38695</xdr:colOff>
      <xdr:row>1</xdr:row>
      <xdr:rowOff>30360</xdr:rowOff>
    </xdr:from>
    <xdr:to>
      <xdr:col>7</xdr:col>
      <xdr:colOff>386953</xdr:colOff>
      <xdr:row>14</xdr:row>
      <xdr:rowOff>148828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DBC58-35DD-4235-94F4-8F85093BD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50602</xdr:colOff>
      <xdr:row>37</xdr:row>
      <xdr:rowOff>36313</xdr:rowOff>
    </xdr:from>
    <xdr:to>
      <xdr:col>11</xdr:col>
      <xdr:colOff>452439</xdr:colOff>
      <xdr:row>54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CD3EB0-4DBE-48A9-8A78-84F23ACE4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0B92-C3EA-4F57-8FD9-0C6BFD614282}">
  <dimension ref="A1:O15"/>
  <sheetViews>
    <sheetView zoomScale="175" zoomScaleNormal="175" workbookViewId="0">
      <selection activeCell="M4" sqref="M4"/>
    </sheetView>
  </sheetViews>
  <sheetFormatPr defaultRowHeight="15" x14ac:dyDescent="0.25"/>
  <cols>
    <col min="1" max="1" width="3.5703125" customWidth="1"/>
    <col min="2" max="2" width="4" customWidth="1"/>
    <col min="3" max="3" width="3.5703125" customWidth="1"/>
    <col min="5" max="5" width="7.42578125" bestFit="1" customWidth="1"/>
    <col min="6" max="6" width="7.28515625" customWidth="1"/>
    <col min="7" max="7" width="7.42578125" customWidth="1"/>
    <col min="9" max="9" width="9.85546875" bestFit="1" customWidth="1"/>
  </cols>
  <sheetData>
    <row r="1" spans="1:15" x14ac:dyDescent="0.25">
      <c r="A1" t="s">
        <v>12</v>
      </c>
    </row>
    <row r="2" spans="1:15" x14ac:dyDescent="0.25">
      <c r="A2" t="s">
        <v>13</v>
      </c>
    </row>
    <row r="4" spans="1:15" x14ac:dyDescent="0.25">
      <c r="A4" s="2" t="s">
        <v>0</v>
      </c>
      <c r="B4" s="2" t="s">
        <v>1</v>
      </c>
      <c r="C4" s="2" t="s">
        <v>2</v>
      </c>
      <c r="E4" s="2" t="s">
        <v>3</v>
      </c>
      <c r="I4" s="1" t="s">
        <v>4</v>
      </c>
      <c r="M4" s="2" t="s">
        <v>5</v>
      </c>
    </row>
    <row r="5" spans="1:15" x14ac:dyDescent="0.25">
      <c r="A5">
        <v>1</v>
      </c>
      <c r="B5">
        <v>1</v>
      </c>
      <c r="C5">
        <v>1</v>
      </c>
      <c r="E5">
        <v>1</v>
      </c>
      <c r="F5">
        <v>0</v>
      </c>
      <c r="G5">
        <v>0</v>
      </c>
      <c r="I5">
        <v>-1</v>
      </c>
      <c r="J5">
        <v>0</v>
      </c>
      <c r="K5">
        <v>0</v>
      </c>
      <c r="M5">
        <v>1</v>
      </c>
      <c r="N5">
        <v>0</v>
      </c>
      <c r="O5">
        <v>0</v>
      </c>
    </row>
    <row r="6" spans="1:15" x14ac:dyDescent="0.25">
      <c r="A6">
        <v>1</v>
      </c>
      <c r="B6">
        <v>2</v>
      </c>
      <c r="C6">
        <v>1</v>
      </c>
      <c r="E6">
        <v>0</v>
      </c>
      <c r="F6">
        <v>1</v>
      </c>
      <c r="G6">
        <v>0</v>
      </c>
      <c r="I6">
        <v>0</v>
      </c>
      <c r="J6">
        <v>-1</v>
      </c>
      <c r="K6">
        <v>0</v>
      </c>
      <c r="M6">
        <v>0</v>
      </c>
      <c r="N6">
        <v>1</v>
      </c>
      <c r="O6">
        <v>0</v>
      </c>
    </row>
    <row r="7" spans="1:15" x14ac:dyDescent="0.25">
      <c r="A7">
        <v>2</v>
      </c>
      <c r="B7">
        <v>3</v>
      </c>
      <c r="C7">
        <v>1</v>
      </c>
      <c r="E7">
        <v>-2</v>
      </c>
      <c r="F7">
        <v>-3</v>
      </c>
      <c r="G7">
        <v>1</v>
      </c>
      <c r="I7">
        <v>0</v>
      </c>
      <c r="J7">
        <v>0</v>
      </c>
      <c r="K7">
        <v>1</v>
      </c>
      <c r="M7">
        <v>2</v>
      </c>
      <c r="N7">
        <v>3</v>
      </c>
      <c r="O7">
        <v>1</v>
      </c>
    </row>
    <row r="8" spans="1:15" x14ac:dyDescent="0.25">
      <c r="A8">
        <v>3</v>
      </c>
      <c r="B8">
        <v>2</v>
      </c>
      <c r="C8">
        <v>1</v>
      </c>
    </row>
    <row r="9" spans="1:15" x14ac:dyDescent="0.25">
      <c r="A9">
        <v>3</v>
      </c>
      <c r="B9">
        <v>1</v>
      </c>
      <c r="C9">
        <v>1</v>
      </c>
      <c r="E9" s="2" t="s">
        <v>6</v>
      </c>
      <c r="F9" s="2" t="s">
        <v>7</v>
      </c>
      <c r="G9" s="2" t="s">
        <v>2</v>
      </c>
      <c r="I9" s="2" t="s">
        <v>8</v>
      </c>
      <c r="J9" s="2" t="s">
        <v>9</v>
      </c>
      <c r="K9" s="2" t="s">
        <v>2</v>
      </c>
      <c r="M9" s="2" t="s">
        <v>10</v>
      </c>
      <c r="N9" s="2" t="s">
        <v>11</v>
      </c>
      <c r="O9" s="2" t="s">
        <v>2</v>
      </c>
    </row>
    <row r="10" spans="1:15" x14ac:dyDescent="0.25">
      <c r="A10">
        <v>1</v>
      </c>
      <c r="B10">
        <v>1</v>
      </c>
      <c r="C10">
        <v>1</v>
      </c>
      <c r="E10" cm="1">
        <f t="array" ref="E10:G15">MMULT(A5:C10,E5:G7)</f>
        <v>-1</v>
      </c>
      <c r="F10">
        <v>-2</v>
      </c>
      <c r="G10">
        <v>1</v>
      </c>
      <c r="I10" cm="1">
        <f t="array" ref="I10:K15">MMULT(_xlfn.ANCHORARRAY(E10),I5:K7)</f>
        <v>1</v>
      </c>
      <c r="J10">
        <v>2</v>
      </c>
      <c r="K10">
        <v>1</v>
      </c>
      <c r="M10" cm="1">
        <f t="array" ref="M10:O15">MMULT(_xlfn.ANCHORARRAY(I10),M5:O7)</f>
        <v>3</v>
      </c>
      <c r="N10">
        <v>5</v>
      </c>
      <c r="O10">
        <v>1</v>
      </c>
    </row>
    <row r="11" spans="1:15" x14ac:dyDescent="0.25">
      <c r="E11">
        <v>-1</v>
      </c>
      <c r="F11">
        <v>-1</v>
      </c>
      <c r="G11">
        <v>1</v>
      </c>
      <c r="I11">
        <v>1</v>
      </c>
      <c r="J11">
        <v>1</v>
      </c>
      <c r="K11">
        <v>1</v>
      </c>
      <c r="M11">
        <v>3</v>
      </c>
      <c r="N11">
        <v>4</v>
      </c>
      <c r="O11">
        <v>1</v>
      </c>
    </row>
    <row r="12" spans="1:15" x14ac:dyDescent="0.25">
      <c r="E12">
        <v>0</v>
      </c>
      <c r="F12">
        <v>0</v>
      </c>
      <c r="G12">
        <v>1</v>
      </c>
      <c r="I12">
        <v>0</v>
      </c>
      <c r="J12">
        <v>0</v>
      </c>
      <c r="K12">
        <v>1</v>
      </c>
      <c r="M12">
        <v>2</v>
      </c>
      <c r="N12">
        <v>3</v>
      </c>
      <c r="O12">
        <v>1</v>
      </c>
    </row>
    <row r="13" spans="1:15" x14ac:dyDescent="0.25">
      <c r="E13">
        <v>1</v>
      </c>
      <c r="F13">
        <v>-1</v>
      </c>
      <c r="G13">
        <v>1</v>
      </c>
      <c r="I13">
        <v>-1</v>
      </c>
      <c r="J13">
        <v>1</v>
      </c>
      <c r="K13">
        <v>1</v>
      </c>
      <c r="M13">
        <v>1</v>
      </c>
      <c r="N13">
        <v>4</v>
      </c>
      <c r="O13">
        <v>1</v>
      </c>
    </row>
    <row r="14" spans="1:15" x14ac:dyDescent="0.25">
      <c r="E14">
        <v>1</v>
      </c>
      <c r="F14">
        <v>-2</v>
      </c>
      <c r="G14">
        <v>1</v>
      </c>
      <c r="I14">
        <v>-1</v>
      </c>
      <c r="J14">
        <v>2</v>
      </c>
      <c r="K14">
        <v>1</v>
      </c>
      <c r="M14">
        <v>1</v>
      </c>
      <c r="N14">
        <v>5</v>
      </c>
      <c r="O14">
        <v>1</v>
      </c>
    </row>
    <row r="15" spans="1:15" x14ac:dyDescent="0.25">
      <c r="E15">
        <v>-1</v>
      </c>
      <c r="F15">
        <v>-2</v>
      </c>
      <c r="G15">
        <v>1</v>
      </c>
      <c r="I15">
        <v>1</v>
      </c>
      <c r="J15">
        <v>2</v>
      </c>
      <c r="K15">
        <v>1</v>
      </c>
      <c r="M15">
        <v>3</v>
      </c>
      <c r="N15">
        <v>5</v>
      </c>
      <c r="O15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584A-CF18-4E55-8E13-D6E494648C22}">
  <dimension ref="A1:J38"/>
  <sheetViews>
    <sheetView zoomScale="160" zoomScaleNormal="160" workbookViewId="0">
      <selection activeCell="C23" sqref="C23:D25"/>
    </sheetView>
  </sheetViews>
  <sheetFormatPr defaultRowHeight="15" x14ac:dyDescent="0.25"/>
  <cols>
    <col min="3" max="3" width="9.140625" customWidth="1"/>
    <col min="4" max="4" width="9" customWidth="1"/>
  </cols>
  <sheetData>
    <row r="1" spans="1:2" x14ac:dyDescent="0.25">
      <c r="A1" t="s">
        <v>14</v>
      </c>
    </row>
    <row r="3" spans="1:2" x14ac:dyDescent="0.25">
      <c r="A3" s="2" t="s">
        <v>0</v>
      </c>
      <c r="B3" s="2" t="s">
        <v>1</v>
      </c>
    </row>
    <row r="4" spans="1:2" x14ac:dyDescent="0.25">
      <c r="A4" s="3">
        <v>1</v>
      </c>
      <c r="B4" s="3">
        <v>1</v>
      </c>
    </row>
    <row r="5" spans="1:2" x14ac:dyDescent="0.25">
      <c r="A5" s="3">
        <v>1</v>
      </c>
      <c r="B5" s="3">
        <v>3</v>
      </c>
    </row>
    <row r="6" spans="1:2" x14ac:dyDescent="0.25">
      <c r="A6" s="3">
        <v>2</v>
      </c>
      <c r="B6" s="3">
        <v>4</v>
      </c>
    </row>
    <row r="7" spans="1:2" x14ac:dyDescent="0.25">
      <c r="A7" s="3">
        <v>3</v>
      </c>
      <c r="B7" s="3">
        <v>3</v>
      </c>
    </row>
    <row r="8" spans="1:2" x14ac:dyDescent="0.25">
      <c r="A8" s="3">
        <v>3</v>
      </c>
      <c r="B8" s="3">
        <v>1</v>
      </c>
    </row>
    <row r="9" spans="1:2" x14ac:dyDescent="0.25">
      <c r="A9" s="3">
        <v>1</v>
      </c>
      <c r="B9" s="3">
        <v>1</v>
      </c>
    </row>
    <row r="16" spans="1:2" x14ac:dyDescent="0.25">
      <c r="A16" t="s">
        <v>15</v>
      </c>
    </row>
    <row r="17" spans="1:10" x14ac:dyDescent="0.25">
      <c r="A17" t="s">
        <v>16</v>
      </c>
    </row>
    <row r="18" spans="1:10" x14ac:dyDescent="0.25">
      <c r="A18" t="s">
        <v>17</v>
      </c>
    </row>
    <row r="20" spans="1:10" x14ac:dyDescent="0.25">
      <c r="A20" t="s">
        <v>18</v>
      </c>
      <c r="C20" s="2" t="s">
        <v>20</v>
      </c>
      <c r="D20" s="3">
        <v>2</v>
      </c>
      <c r="F20" s="2" t="s">
        <v>22</v>
      </c>
      <c r="G20" s="3">
        <v>180</v>
      </c>
    </row>
    <row r="21" spans="1:10" x14ac:dyDescent="0.25">
      <c r="A21" t="s">
        <v>19</v>
      </c>
      <c r="C21" s="2" t="s">
        <v>21</v>
      </c>
      <c r="D21" s="3">
        <v>4</v>
      </c>
      <c r="F21" s="2" t="s">
        <v>23</v>
      </c>
      <c r="G21" s="4">
        <f>RADIANS(G20)</f>
        <v>3.1415926535897931</v>
      </c>
    </row>
    <row r="23" spans="1:10" x14ac:dyDescent="0.25">
      <c r="A23" t="s">
        <v>24</v>
      </c>
      <c r="C23" s="4">
        <f>COS(G21)</f>
        <v>-1</v>
      </c>
      <c r="D23" s="4">
        <f>-SIN(G21)</f>
        <v>-1.22514845490862E-16</v>
      </c>
      <c r="E23" s="4">
        <v>0</v>
      </c>
      <c r="G23" t="s">
        <v>25</v>
      </c>
    </row>
    <row r="24" spans="1:10" x14ac:dyDescent="0.25">
      <c r="C24" s="4">
        <f>SIN(G21)</f>
        <v>1.22514845490862E-16</v>
      </c>
      <c r="D24" s="4">
        <f>COS(G21)</f>
        <v>-1</v>
      </c>
      <c r="E24" s="4">
        <v>0</v>
      </c>
      <c r="G24" t="s">
        <v>26</v>
      </c>
    </row>
    <row r="25" spans="1:10" x14ac:dyDescent="0.25">
      <c r="C25" s="4">
        <f>-D20*COS(G21)-D21*SIN(G21)+D20</f>
        <v>3.9999999999999996</v>
      </c>
      <c r="D25" s="4">
        <f>D20*SIN(G21)-D21*COS(G21)+D21</f>
        <v>8</v>
      </c>
      <c r="E25" s="4">
        <v>1</v>
      </c>
      <c r="G25" t="s">
        <v>27</v>
      </c>
    </row>
    <row r="27" spans="1:10" x14ac:dyDescent="0.25">
      <c r="A27" t="s">
        <v>28</v>
      </c>
    </row>
    <row r="28" spans="1:10" x14ac:dyDescent="0.25">
      <c r="A28" t="s">
        <v>29</v>
      </c>
    </row>
    <row r="30" spans="1:10" x14ac:dyDescent="0.25">
      <c r="B30" s="2" t="s">
        <v>0</v>
      </c>
      <c r="C30" s="2" t="s">
        <v>1</v>
      </c>
      <c r="D30" s="2" t="s">
        <v>2</v>
      </c>
      <c r="F30" s="2" t="s">
        <v>6</v>
      </c>
      <c r="G30" s="2" t="s">
        <v>7</v>
      </c>
      <c r="H30" s="2" t="s">
        <v>2</v>
      </c>
    </row>
    <row r="31" spans="1:10" x14ac:dyDescent="0.25">
      <c r="B31" s="4">
        <f>A4</f>
        <v>1</v>
      </c>
      <c r="C31" s="4">
        <f>B4</f>
        <v>1</v>
      </c>
      <c r="D31" s="4">
        <v>1</v>
      </c>
      <c r="F31" s="5" cm="1">
        <f t="array" ref="F31:H36">MMULT(B31:D36,C23:E25)</f>
        <v>2.9999999999999996</v>
      </c>
      <c r="G31" s="5">
        <v>7</v>
      </c>
      <c r="H31" s="5">
        <v>1</v>
      </c>
      <c r="J31" t="s">
        <v>30</v>
      </c>
    </row>
    <row r="32" spans="1:10" x14ac:dyDescent="0.25">
      <c r="B32" s="4">
        <f t="shared" ref="B32:C32" si="0">A5</f>
        <v>1</v>
      </c>
      <c r="C32" s="4">
        <f t="shared" si="0"/>
        <v>3</v>
      </c>
      <c r="D32" s="4">
        <v>1</v>
      </c>
      <c r="F32" s="5">
        <v>3</v>
      </c>
      <c r="G32" s="5">
        <v>5</v>
      </c>
      <c r="H32" s="5">
        <v>1</v>
      </c>
      <c r="J32" t="s">
        <v>31</v>
      </c>
    </row>
    <row r="33" spans="1:8" x14ac:dyDescent="0.25">
      <c r="B33" s="4">
        <f t="shared" ref="B33:C33" si="1">A6</f>
        <v>2</v>
      </c>
      <c r="C33" s="4">
        <f t="shared" si="1"/>
        <v>4</v>
      </c>
      <c r="D33" s="4">
        <v>1</v>
      </c>
      <c r="F33" s="5">
        <v>2</v>
      </c>
      <c r="G33" s="5">
        <v>4</v>
      </c>
      <c r="H33" s="5">
        <v>1</v>
      </c>
    </row>
    <row r="34" spans="1:8" x14ac:dyDescent="0.25">
      <c r="B34" s="4">
        <f t="shared" ref="B34:C34" si="2">A7</f>
        <v>3</v>
      </c>
      <c r="C34" s="4">
        <f t="shared" si="2"/>
        <v>3</v>
      </c>
      <c r="D34" s="4">
        <v>1</v>
      </c>
      <c r="F34" s="5">
        <v>1</v>
      </c>
      <c r="G34" s="5">
        <v>5</v>
      </c>
      <c r="H34" s="5">
        <v>1</v>
      </c>
    </row>
    <row r="35" spans="1:8" x14ac:dyDescent="0.25">
      <c r="B35" s="4">
        <f t="shared" ref="B35:C35" si="3">A8</f>
        <v>3</v>
      </c>
      <c r="C35" s="4">
        <f t="shared" si="3"/>
        <v>1</v>
      </c>
      <c r="D35" s="4">
        <v>1</v>
      </c>
      <c r="F35" s="5">
        <v>0.99999999999999956</v>
      </c>
      <c r="G35" s="5">
        <v>7</v>
      </c>
      <c r="H35" s="5">
        <v>1</v>
      </c>
    </row>
    <row r="36" spans="1:8" x14ac:dyDescent="0.25">
      <c r="B36" s="4">
        <f t="shared" ref="B36:C36" si="4">A9</f>
        <v>1</v>
      </c>
      <c r="C36" s="4">
        <f t="shared" si="4"/>
        <v>1</v>
      </c>
      <c r="D36" s="4">
        <v>1</v>
      </c>
      <c r="F36" s="5">
        <v>2.9999999999999996</v>
      </c>
      <c r="G36" s="5">
        <v>7</v>
      </c>
      <c r="H36" s="5">
        <v>1</v>
      </c>
    </row>
    <row r="38" spans="1:8" x14ac:dyDescent="0.25">
      <c r="A38" t="s">
        <v>32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519E-3F24-4D9E-9ED4-E07A345F28E0}">
  <dimension ref="A1:J38"/>
  <sheetViews>
    <sheetView tabSelected="1" topLeftCell="A19" zoomScaleNormal="100" workbookViewId="0">
      <selection activeCell="G20" sqref="G20"/>
    </sheetView>
  </sheetViews>
  <sheetFormatPr defaultRowHeight="15" x14ac:dyDescent="0.25"/>
  <cols>
    <col min="3" max="3" width="9.140625" customWidth="1"/>
    <col min="4" max="4" width="9" customWidth="1"/>
  </cols>
  <sheetData>
    <row r="1" spans="1:2" x14ac:dyDescent="0.25">
      <c r="A1" t="s">
        <v>14</v>
      </c>
    </row>
    <row r="3" spans="1:2" x14ac:dyDescent="0.25">
      <c r="A3" s="2" t="s">
        <v>0</v>
      </c>
      <c r="B3" s="2" t="s">
        <v>1</v>
      </c>
    </row>
    <row r="4" spans="1:2" x14ac:dyDescent="0.25">
      <c r="A4" s="3">
        <v>1</v>
      </c>
      <c r="B4" s="3">
        <v>1</v>
      </c>
    </row>
    <row r="5" spans="1:2" x14ac:dyDescent="0.25">
      <c r="A5" s="3">
        <v>3</v>
      </c>
      <c r="B5" s="3">
        <v>3</v>
      </c>
    </row>
    <row r="6" spans="1:2" x14ac:dyDescent="0.25">
      <c r="A6" s="3">
        <v>2</v>
      </c>
      <c r="B6" s="3">
        <v>4</v>
      </c>
    </row>
    <row r="7" spans="1:2" x14ac:dyDescent="0.25">
      <c r="A7" s="3">
        <v>1</v>
      </c>
      <c r="B7" s="3">
        <v>3</v>
      </c>
    </row>
    <row r="8" spans="1:2" x14ac:dyDescent="0.25">
      <c r="A8" s="3">
        <v>3</v>
      </c>
      <c r="B8" s="3">
        <v>1</v>
      </c>
    </row>
    <row r="9" spans="1:2" x14ac:dyDescent="0.25">
      <c r="A9" s="3">
        <v>1</v>
      </c>
      <c r="B9" s="3">
        <v>1</v>
      </c>
    </row>
    <row r="16" spans="1:2" x14ac:dyDescent="0.25">
      <c r="A16" t="s">
        <v>15</v>
      </c>
    </row>
    <row r="17" spans="1:10" x14ac:dyDescent="0.25">
      <c r="A17" t="s">
        <v>16</v>
      </c>
    </row>
    <row r="18" spans="1:10" x14ac:dyDescent="0.25">
      <c r="A18" t="s">
        <v>17</v>
      </c>
    </row>
    <row r="20" spans="1:10" x14ac:dyDescent="0.25">
      <c r="A20" t="s">
        <v>18</v>
      </c>
      <c r="C20" s="2" t="s">
        <v>20</v>
      </c>
      <c r="D20" s="3">
        <v>6</v>
      </c>
      <c r="F20" s="2" t="s">
        <v>22</v>
      </c>
      <c r="G20" s="3">
        <v>180</v>
      </c>
    </row>
    <row r="21" spans="1:10" x14ac:dyDescent="0.25">
      <c r="A21" t="s">
        <v>19</v>
      </c>
      <c r="C21" s="2" t="s">
        <v>21</v>
      </c>
      <c r="D21" s="3">
        <v>2</v>
      </c>
      <c r="F21" s="2" t="s">
        <v>23</v>
      </c>
      <c r="G21" s="4">
        <f>RADIANS(G20)</f>
        <v>3.1415926535897931</v>
      </c>
    </row>
    <row r="23" spans="1:10" x14ac:dyDescent="0.25">
      <c r="A23" t="s">
        <v>24</v>
      </c>
      <c r="C23" s="4">
        <f>COS(G21)</f>
        <v>-1</v>
      </c>
      <c r="D23" s="4">
        <f>-SIN(G21)</f>
        <v>-1.22514845490862E-16</v>
      </c>
      <c r="E23" s="4">
        <v>0</v>
      </c>
      <c r="G23" t="s">
        <v>25</v>
      </c>
    </row>
    <row r="24" spans="1:10" x14ac:dyDescent="0.25">
      <c r="C24" s="4">
        <f>SIN(G21)</f>
        <v>1.22514845490862E-16</v>
      </c>
      <c r="D24" s="4">
        <f>COS(G21)</f>
        <v>-1</v>
      </c>
      <c r="E24" s="4">
        <v>0</v>
      </c>
      <c r="G24" t="s">
        <v>26</v>
      </c>
    </row>
    <row r="25" spans="1:10" x14ac:dyDescent="0.25">
      <c r="C25" s="4">
        <f>-D20*COS(G21)-D21*SIN(G21)+D20</f>
        <v>12</v>
      </c>
      <c r="D25" s="4">
        <f>D20*SIN(G21)-D21*COS(G21)+D21</f>
        <v>4.0000000000000009</v>
      </c>
      <c r="E25" s="4">
        <v>1</v>
      </c>
      <c r="G25" t="s">
        <v>27</v>
      </c>
    </row>
    <row r="27" spans="1:10" x14ac:dyDescent="0.25">
      <c r="A27" t="s">
        <v>28</v>
      </c>
    </row>
    <row r="28" spans="1:10" x14ac:dyDescent="0.25">
      <c r="A28" t="s">
        <v>29</v>
      </c>
    </row>
    <row r="30" spans="1:10" x14ac:dyDescent="0.25">
      <c r="B30" s="2" t="s">
        <v>0</v>
      </c>
      <c r="C30" s="2" t="s">
        <v>1</v>
      </c>
      <c r="D30" s="2" t="s">
        <v>2</v>
      </c>
      <c r="F30" s="2" t="s">
        <v>6</v>
      </c>
      <c r="G30" s="2" t="s">
        <v>7</v>
      </c>
      <c r="H30" s="2" t="s">
        <v>2</v>
      </c>
    </row>
    <row r="31" spans="1:10" x14ac:dyDescent="0.25">
      <c r="B31" s="4">
        <f>A4</f>
        <v>1</v>
      </c>
      <c r="C31" s="4">
        <f>B4</f>
        <v>1</v>
      </c>
      <c r="D31" s="4">
        <v>1</v>
      </c>
      <c r="F31" s="5" cm="1">
        <f t="array" ref="F31:H36">MMULT(B31:D36,C23:E25)</f>
        <v>11</v>
      </c>
      <c r="G31" s="5">
        <v>3.0000000000000009</v>
      </c>
      <c r="H31" s="5">
        <v>1</v>
      </c>
      <c r="J31" t="s">
        <v>30</v>
      </c>
    </row>
    <row r="32" spans="1:10" x14ac:dyDescent="0.25">
      <c r="B32" s="4">
        <f t="shared" ref="B32:C36" si="0">A5</f>
        <v>3</v>
      </c>
      <c r="C32" s="4">
        <f t="shared" si="0"/>
        <v>3</v>
      </c>
      <c r="D32" s="4">
        <v>1</v>
      </c>
      <c r="F32" s="5">
        <v>9</v>
      </c>
      <c r="G32" s="5">
        <v>1.0000000000000004</v>
      </c>
      <c r="H32" s="5">
        <v>1</v>
      </c>
      <c r="J32" t="s">
        <v>31</v>
      </c>
    </row>
    <row r="33" spans="1:8" x14ac:dyDescent="0.25">
      <c r="B33" s="4">
        <f t="shared" si="0"/>
        <v>2</v>
      </c>
      <c r="C33" s="4">
        <f t="shared" si="0"/>
        <v>4</v>
      </c>
      <c r="D33" s="4">
        <v>1</v>
      </c>
      <c r="F33" s="5">
        <v>10</v>
      </c>
      <c r="G33" s="5">
        <v>8.8817841970012523E-16</v>
      </c>
      <c r="H33" s="5">
        <v>1</v>
      </c>
    </row>
    <row r="34" spans="1:8" x14ac:dyDescent="0.25">
      <c r="B34" s="4">
        <f t="shared" si="0"/>
        <v>1</v>
      </c>
      <c r="C34" s="4">
        <f t="shared" si="0"/>
        <v>3</v>
      </c>
      <c r="D34" s="4">
        <v>1</v>
      </c>
      <c r="F34" s="5">
        <v>11</v>
      </c>
      <c r="G34" s="5">
        <v>1.0000000000000009</v>
      </c>
      <c r="H34" s="5">
        <v>1</v>
      </c>
    </row>
    <row r="35" spans="1:8" x14ac:dyDescent="0.25">
      <c r="B35" s="4">
        <f t="shared" si="0"/>
        <v>3</v>
      </c>
      <c r="C35" s="4">
        <f t="shared" si="0"/>
        <v>1</v>
      </c>
      <c r="D35" s="4">
        <v>1</v>
      </c>
      <c r="F35" s="5">
        <v>9</v>
      </c>
      <c r="G35" s="5">
        <v>3.0000000000000004</v>
      </c>
      <c r="H35" s="5">
        <v>1</v>
      </c>
    </row>
    <row r="36" spans="1:8" x14ac:dyDescent="0.25">
      <c r="B36" s="4">
        <f t="shared" si="0"/>
        <v>1</v>
      </c>
      <c r="C36" s="4">
        <f t="shared" si="0"/>
        <v>1</v>
      </c>
      <c r="D36" s="4">
        <v>1</v>
      </c>
      <c r="F36" s="5">
        <v>11</v>
      </c>
      <c r="G36" s="5">
        <v>3.0000000000000009</v>
      </c>
      <c r="H36" s="5">
        <v>1</v>
      </c>
    </row>
    <row r="38" spans="1:8" x14ac:dyDescent="0.25">
      <c r="A38" t="s">
        <v>32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14F062DE2C24286A1EC18180F2B9F" ma:contentTypeVersion="18" ma:contentTypeDescription="Create a new document." ma:contentTypeScope="" ma:versionID="c8bd09bd190f1bf03ec4c85a80db3ef9">
  <xsd:schema xmlns:xsd="http://www.w3.org/2001/XMLSchema" xmlns:xs="http://www.w3.org/2001/XMLSchema" xmlns:p="http://schemas.microsoft.com/office/2006/metadata/properties" xmlns:ns3="51c0e021-332a-4e13-a861-3c5611bce315" xmlns:ns4="54fdb43f-307a-4ca7-a999-1e66168fd2e6" targetNamespace="http://schemas.microsoft.com/office/2006/metadata/properties" ma:root="true" ma:fieldsID="f8bea2879765c0c6143efbf4d5e3ea8c" ns3:_="" ns4:_="">
    <xsd:import namespace="51c0e021-332a-4e13-a861-3c5611bce315"/>
    <xsd:import namespace="54fdb43f-307a-4ca7-a999-1e66168fd2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c0e021-332a-4e13-a861-3c5611bce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db43f-307a-4ca7-a999-1e66168fd2e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c0e021-332a-4e13-a861-3c5611bce31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54419C-23E4-4326-8126-A0DE583856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c0e021-332a-4e13-a861-3c5611bce315"/>
    <ds:schemaRef ds:uri="54fdb43f-307a-4ca7-a999-1e66168fd2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331546-3D2C-45B2-9DA5-37E7BB4D1482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4fdb43f-307a-4ca7-a999-1e66168fd2e6"/>
    <ds:schemaRef ds:uri="51c0e021-332a-4e13-a861-3c5611bce315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92E19CD-1461-40D0-AF02-5E64DECD7F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MultiplyingOneMatrixAtATime</vt:lpstr>
      <vt:lpstr>UsingCombinedRotationMatrix</vt:lpstr>
      <vt:lpstr>Rocket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Grzesina, Michael</dc:creator>
  <cp:keywords/>
  <dc:description/>
  <cp:lastModifiedBy>Grzesina, Michael</cp:lastModifiedBy>
  <cp:revision/>
  <dcterms:created xsi:type="dcterms:W3CDTF">2023-10-25T14:06:15Z</dcterms:created>
  <dcterms:modified xsi:type="dcterms:W3CDTF">2023-11-01T14:35:34Z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0x01010068D14F062DE2C24286A1EC18180F2B9F</vt:lpwstr>
  </property>
</Properties>
</file>